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2" i="1" l="1"/>
  <c r="K2" i="1"/>
  <c r="K3" i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J2" i="1"/>
  <c r="I2" i="1"/>
  <c r="H2" i="1"/>
  <c r="G4" i="1"/>
  <c r="G5" i="1"/>
  <c r="G6" i="1"/>
  <c r="G7" i="1"/>
  <c r="G8" i="1"/>
  <c r="G9" i="1"/>
  <c r="G10" i="1"/>
  <c r="G11" i="1"/>
  <c r="G3" i="1"/>
  <c r="G2" i="1"/>
</calcChain>
</file>

<file path=xl/sharedStrings.xml><?xml version="1.0" encoding="utf-8"?>
<sst xmlns="http://schemas.openxmlformats.org/spreadsheetml/2006/main" count="51" uniqueCount="36">
  <si>
    <t>First Name</t>
  </si>
  <si>
    <t>Last Name</t>
  </si>
  <si>
    <t>Department</t>
  </si>
  <si>
    <t>Sales</t>
  </si>
  <si>
    <t>Target Achieved</t>
  </si>
  <si>
    <t>Alice</t>
  </si>
  <si>
    <t>Smith</t>
  </si>
  <si>
    <t>HR</t>
  </si>
  <si>
    <t>Yes</t>
  </si>
  <si>
    <t>Bob</t>
  </si>
  <si>
    <t>Johnson</t>
  </si>
  <si>
    <t>IT</t>
  </si>
  <si>
    <t>No</t>
  </si>
  <si>
    <t>Charlie</t>
  </si>
  <si>
    <t>Brown</t>
  </si>
  <si>
    <t>Finance</t>
  </si>
  <si>
    <t>David</t>
  </si>
  <si>
    <t>White</t>
  </si>
  <si>
    <t>Eva</t>
  </si>
  <si>
    <t>Clark</t>
  </si>
  <si>
    <t>Frank</t>
  </si>
  <si>
    <t>Taylor</t>
  </si>
  <si>
    <t>Grace</t>
  </si>
  <si>
    <t>Evans</t>
  </si>
  <si>
    <t>Hannah</t>
  </si>
  <si>
    <t>Martin</t>
  </si>
  <si>
    <t>Ivan</t>
  </si>
  <si>
    <t>Lee</t>
  </si>
  <si>
    <t>Jack</t>
  </si>
  <si>
    <t>Walker</t>
  </si>
  <si>
    <t>Concat fun</t>
  </si>
  <si>
    <t>Count if (No.Of no)</t>
  </si>
  <si>
    <t>Count If fun (No. of Yes)</t>
  </si>
  <si>
    <t>If fun (yes=1, No=0)</t>
  </si>
  <si>
    <t>Nested If (Yes=1, no = 0 hr=5 , not Hr =1)</t>
  </si>
  <si>
    <t>Count if (&gt;180)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</si>
</sst>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rgb="FFFFFF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O4" sqref="O4"/>
    </sheetView>
  </sheetViews>
  <sheetFormatPr defaultRowHeight="14.5" x14ac:dyDescent="0.35"/>
  <sheetData>
    <row r="1" spans="1:12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5"/>
      <c r="G1" s="11" t="s">
        <v>30</v>
      </c>
      <c r="H1" s="10" t="s">
        <v>31</v>
      </c>
      <c r="I1" s="9" t="s">
        <v>32</v>
      </c>
      <c r="J1" s="9" t="s">
        <v>33</v>
      </c>
      <c r="K1" s="9" t="s">
        <v>34</v>
      </c>
      <c r="L1" s="9" t="s">
        <v>35</v>
      </c>
    </row>
    <row r="2" spans="1:12" x14ac:dyDescent="0.35">
      <c r="A2" s="2" t="s">
        <v>5</v>
      </c>
      <c r="B2" s="2" t="s">
        <v>6</v>
      </c>
      <c r="C2" s="2" t="s">
        <v>7</v>
      </c>
      <c r="D2" s="2">
        <v>150</v>
      </c>
      <c r="E2" s="2" t="s">
        <v>8</v>
      </c>
      <c r="G2" s="7" t="str">
        <f>CONCATENATE(A2,C2)</f>
        <v>AliceHR</v>
      </c>
      <c r="H2" s="7">
        <f>COUNTIF(E2:E11,"No")</f>
        <v>4</v>
      </c>
      <c r="I2" s="7">
        <f>COUNTIF(E2:E11,"Yes")</f>
        <v>6</v>
      </c>
      <c r="J2" s="7">
        <f>IF(E2="Yes",1, 0)</f>
        <v>1</v>
      </c>
      <c r="K2" s="7">
        <f>IF(E2="Yes",IF(C2="HR",5,1),0)</f>
        <v>5</v>
      </c>
      <c r="L2" s="8">
        <f>COUNTIF(D2:D11,"&gt;180")</f>
        <v>6</v>
      </c>
    </row>
    <row r="3" spans="1:12" x14ac:dyDescent="0.35">
      <c r="A3" s="2" t="s">
        <v>9</v>
      </c>
      <c r="B3" s="2" t="s">
        <v>10</v>
      </c>
      <c r="C3" s="2" t="s">
        <v>11</v>
      </c>
      <c r="D3" s="4">
        <v>200</v>
      </c>
      <c r="E3" s="2" t="s">
        <v>12</v>
      </c>
      <c r="G3" s="6" t="str">
        <f>CONCATENATE(A3,"-",C3)</f>
        <v>Bob-IT</v>
      </c>
      <c r="H3" s="7"/>
      <c r="I3" s="7"/>
      <c r="J3" s="7">
        <f t="shared" ref="J3:J11" si="0">IF(E3="Yes",1, 0)</f>
        <v>0</v>
      </c>
      <c r="K3" s="7">
        <f t="shared" ref="K3:K11" si="1">IF(E3="Yes",IF(C3="HR",5,1),0)</f>
        <v>0</v>
      </c>
      <c r="L3" s="7"/>
    </row>
    <row r="4" spans="1:12" ht="29" x14ac:dyDescent="0.35">
      <c r="A4" s="2" t="s">
        <v>13</v>
      </c>
      <c r="B4" s="2" t="s">
        <v>14</v>
      </c>
      <c r="C4" s="2" t="s">
        <v>15</v>
      </c>
      <c r="D4" s="4">
        <v>180</v>
      </c>
      <c r="E4" s="2" t="s">
        <v>8</v>
      </c>
      <c r="G4" s="6" t="str">
        <f t="shared" ref="G4:G11" si="2">CONCATENATE(A4,"-",C4)</f>
        <v>Charlie-Finance</v>
      </c>
      <c r="H4" s="7"/>
      <c r="I4" s="7"/>
      <c r="J4" s="7">
        <f t="shared" si="0"/>
        <v>1</v>
      </c>
      <c r="K4" s="7">
        <f t="shared" si="1"/>
        <v>1</v>
      </c>
      <c r="L4" s="7"/>
    </row>
    <row r="5" spans="1:12" x14ac:dyDescent="0.35">
      <c r="A5" s="2" t="s">
        <v>16</v>
      </c>
      <c r="B5" s="2" t="s">
        <v>17</v>
      </c>
      <c r="C5" s="2" t="s">
        <v>11</v>
      </c>
      <c r="D5" s="4">
        <v>220</v>
      </c>
      <c r="E5" s="2" t="s">
        <v>8</v>
      </c>
      <c r="G5" s="6" t="str">
        <f t="shared" si="2"/>
        <v>David-IT</v>
      </c>
      <c r="H5" s="7"/>
      <c r="I5" s="7"/>
      <c r="J5" s="7">
        <f t="shared" si="0"/>
        <v>1</v>
      </c>
      <c r="K5" s="7">
        <f t="shared" si="1"/>
        <v>1</v>
      </c>
      <c r="L5" s="7"/>
    </row>
    <row r="6" spans="1:12" x14ac:dyDescent="0.35">
      <c r="A6" s="2" t="s">
        <v>18</v>
      </c>
      <c r="B6" s="2" t="s">
        <v>19</v>
      </c>
      <c r="C6" s="2" t="s">
        <v>7</v>
      </c>
      <c r="D6" s="2">
        <v>170</v>
      </c>
      <c r="E6" s="2" t="s">
        <v>12</v>
      </c>
      <c r="G6" s="6" t="str">
        <f t="shared" si="2"/>
        <v>Eva-HR</v>
      </c>
      <c r="H6" s="7"/>
      <c r="I6" s="7"/>
      <c r="J6" s="7">
        <f t="shared" si="0"/>
        <v>0</v>
      </c>
      <c r="K6" s="7">
        <f t="shared" si="1"/>
        <v>0</v>
      </c>
      <c r="L6" s="7"/>
    </row>
    <row r="7" spans="1:12" ht="29" x14ac:dyDescent="0.35">
      <c r="A7" s="2" t="s">
        <v>20</v>
      </c>
      <c r="B7" s="2" t="s">
        <v>21</v>
      </c>
      <c r="C7" s="2" t="s">
        <v>15</v>
      </c>
      <c r="D7" s="4">
        <v>210</v>
      </c>
      <c r="E7" s="2" t="s">
        <v>8</v>
      </c>
      <c r="G7" s="6" t="str">
        <f t="shared" si="2"/>
        <v>Frank-Finance</v>
      </c>
      <c r="H7" s="7"/>
      <c r="I7" s="7"/>
      <c r="J7" s="7">
        <f t="shared" si="0"/>
        <v>1</v>
      </c>
      <c r="K7" s="7">
        <f t="shared" si="1"/>
        <v>1</v>
      </c>
      <c r="L7" s="7"/>
    </row>
    <row r="8" spans="1:12" x14ac:dyDescent="0.35">
      <c r="A8" s="2" t="s">
        <v>22</v>
      </c>
      <c r="B8" s="2" t="s">
        <v>23</v>
      </c>
      <c r="C8" s="2" t="s">
        <v>11</v>
      </c>
      <c r="D8" s="4">
        <v>230</v>
      </c>
      <c r="E8" s="2" t="s">
        <v>8</v>
      </c>
      <c r="G8" s="6" t="str">
        <f t="shared" si="2"/>
        <v>Grace-IT</v>
      </c>
      <c r="H8" s="7"/>
      <c r="I8" s="7"/>
      <c r="J8" s="7">
        <f t="shared" si="0"/>
        <v>1</v>
      </c>
      <c r="K8" s="7">
        <f t="shared" si="1"/>
        <v>1</v>
      </c>
      <c r="L8" s="7"/>
    </row>
    <row r="9" spans="1:12" ht="29" x14ac:dyDescent="0.35">
      <c r="A9" s="2" t="s">
        <v>24</v>
      </c>
      <c r="B9" s="2" t="s">
        <v>25</v>
      </c>
      <c r="C9" s="2" t="s">
        <v>7</v>
      </c>
      <c r="D9" s="2">
        <v>160</v>
      </c>
      <c r="E9" s="2" t="s">
        <v>12</v>
      </c>
      <c r="G9" s="6" t="str">
        <f t="shared" si="2"/>
        <v>Hannah-HR</v>
      </c>
      <c r="H9" s="7"/>
      <c r="I9" s="7"/>
      <c r="J9" s="7">
        <f t="shared" si="0"/>
        <v>0</v>
      </c>
      <c r="K9" s="7">
        <f t="shared" si="1"/>
        <v>0</v>
      </c>
      <c r="L9" s="7"/>
    </row>
    <row r="10" spans="1:12" ht="29" x14ac:dyDescent="0.35">
      <c r="A10" s="2" t="s">
        <v>26</v>
      </c>
      <c r="B10" s="2" t="s">
        <v>27</v>
      </c>
      <c r="C10" s="2" t="s">
        <v>15</v>
      </c>
      <c r="D10" s="4">
        <v>200</v>
      </c>
      <c r="E10" s="2" t="s">
        <v>8</v>
      </c>
      <c r="G10" s="6" t="str">
        <f t="shared" si="2"/>
        <v>Ivan-Finance</v>
      </c>
      <c r="H10" s="7"/>
      <c r="I10" s="7"/>
      <c r="J10" s="7">
        <f t="shared" si="0"/>
        <v>1</v>
      </c>
      <c r="K10" s="7">
        <f t="shared" si="1"/>
        <v>1</v>
      </c>
      <c r="L10" s="7"/>
    </row>
    <row r="11" spans="1:12" x14ac:dyDescent="0.35">
      <c r="A11" s="2" t="s">
        <v>28</v>
      </c>
      <c r="B11" s="2" t="s">
        <v>29</v>
      </c>
      <c r="C11" s="2" t="s">
        <v>11</v>
      </c>
      <c r="D11" s="4">
        <v>190</v>
      </c>
      <c r="E11" s="2" t="s">
        <v>12</v>
      </c>
      <c r="G11" s="6" t="str">
        <f t="shared" si="2"/>
        <v>Jack-IT</v>
      </c>
      <c r="H11" s="7"/>
      <c r="I11" s="7"/>
      <c r="J11" s="7">
        <f t="shared" si="0"/>
        <v>0</v>
      </c>
      <c r="K11" s="7">
        <f t="shared" si="1"/>
        <v>0</v>
      </c>
      <c r="L1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2026-01-23T15:59:42Z</dcterms:modified>
</cp:coreProperties>
</file>